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5135" windowHeight="8130"/>
  </bookViews>
  <sheets>
    <sheet name="HP" sheetId="1" r:id="rId1"/>
    <sheet name="DN" sheetId="2" r:id="rId2"/>
  </sheets>
  <externalReferences>
    <externalReference r:id="rId3"/>
  </externalReferences>
  <definedNames>
    <definedName name="_xlnm._FilterDatabase" localSheetId="1" hidden="1">DN!$A$6:$K$6</definedName>
    <definedName name="_xlnm._FilterDatabase" localSheetId="0" hidden="1">HP!$A$6:$K$44</definedName>
  </definedNames>
  <calcPr calcId="144525"/>
</workbook>
</file>

<file path=xl/calcChain.xml><?xml version="1.0" encoding="utf-8"?>
<calcChain xmlns="http://schemas.openxmlformats.org/spreadsheetml/2006/main">
  <c r="L12" i="2" l="1"/>
  <c r="L11" i="2"/>
  <c r="L10" i="2"/>
  <c r="L9" i="2"/>
  <c r="L8" i="2"/>
  <c r="L7" i="2"/>
  <c r="F13" i="2"/>
  <c r="C2" i="2"/>
  <c r="H2" i="2"/>
  <c r="G13" i="2"/>
  <c r="H13" i="2"/>
  <c r="J13" i="2"/>
</calcChain>
</file>

<file path=xl/sharedStrings.xml><?xml version="1.0" encoding="utf-8"?>
<sst xmlns="http://schemas.openxmlformats.org/spreadsheetml/2006/main" count="62" uniqueCount="35">
  <si>
    <t>NO.</t>
  </si>
  <si>
    <t xml:space="preserve">BOOKING </t>
  </si>
  <si>
    <t>SEAL</t>
  </si>
  <si>
    <t>20GP</t>
  </si>
  <si>
    <t>40HC</t>
  </si>
  <si>
    <t>COMM</t>
  </si>
  <si>
    <t>LADEN</t>
  </si>
  <si>
    <t>GW (MTS)</t>
  </si>
  <si>
    <t>REMARK</t>
  </si>
  <si>
    <t>GEMADEPT LOGISTICS</t>
  </si>
  <si>
    <t>Port Of Loading :</t>
  </si>
  <si>
    <t>Port Of Discharge :</t>
  </si>
  <si>
    <t>VNSGN</t>
  </si>
  <si>
    <t>TEUS</t>
  </si>
  <si>
    <t>CONTAINER NO</t>
  </si>
  <si>
    <t>BINH DUONG</t>
  </si>
  <si>
    <t>VNDAD</t>
  </si>
  <si>
    <t>BOT NGOT</t>
  </si>
  <si>
    <t>AJI</t>
  </si>
  <si>
    <t>MASAN</t>
  </si>
  <si>
    <t>VSL</t>
  </si>
  <si>
    <t xml:space="preserve">ETD: </t>
  </si>
  <si>
    <t>NANO PHUOC THANH</t>
  </si>
  <si>
    <t>DIEN TU</t>
  </si>
  <si>
    <t>THUC PHAM</t>
  </si>
  <si>
    <t>DOM000524</t>
  </si>
  <si>
    <t>DOM000564</t>
  </si>
  <si>
    <t>GMDU2413650</t>
  </si>
  <si>
    <t>GMDU2410049</t>
  </si>
  <si>
    <t>CAXU6764329</t>
  </si>
  <si>
    <t>GMDU2418440</t>
  </si>
  <si>
    <t>GMTU9009889</t>
  </si>
  <si>
    <t>GMTU7031184</t>
  </si>
  <si>
    <t>CUSTOMER</t>
  </si>
  <si>
    <t>POD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</si>
</sst>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color indexed="8"/>
      <name val="Calibri"/>
      <family val="2"/>
    </font>
    <font>
      <sz val="12"/>
      <color indexed="8"/>
      <name val="Arial"/>
      <family val="2"/>
    </font>
    <font>
      <b/>
      <sz val="16"/>
      <color indexed="48"/>
      <name val="Arial"/>
      <family val="2"/>
    </font>
    <font>
      <b/>
      <u/>
      <sz val="14"/>
      <color indexed="48"/>
      <name val="Arial"/>
      <family val="2"/>
    </font>
    <font>
      <sz val="14"/>
      <color indexed="8"/>
      <name val="Arial"/>
      <family val="2"/>
    </font>
    <font>
      <b/>
      <sz val="12"/>
      <color indexed="8"/>
      <name val="Arial"/>
      <family val="2"/>
    </font>
    <font>
      <sz val="11"/>
      <color indexed="10"/>
      <name val="Times New Roman"/>
      <family val="1"/>
    </font>
    <font>
      <sz val="8"/>
      <name val="Calibri"/>
      <family val="2"/>
    </font>
    <font>
      <b/>
      <sz val="12"/>
      <name val="Arial"/>
      <family val="2"/>
    </font>
    <font>
      <b/>
      <u/>
      <sz val="16"/>
      <color indexed="48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1" xfId="0" applyFont="1" applyFill="1" applyBorder="1" applyAlignment="1">
      <alignment vertical="center"/>
    </xf>
    <xf numFmtId="0" fontId="3" fillId="0" borderId="1" xfId="0" applyFont="1" applyBorder="1"/>
    <xf numFmtId="0" fontId="3" fillId="2" borderId="1" xfId="0" applyFont="1" applyFill="1" applyBorder="1"/>
    <xf numFmtId="49" fontId="3" fillId="0" borderId="0" xfId="1" applyNumberFormat="1" applyFont="1"/>
    <xf numFmtId="49" fontId="3" fillId="2" borderId="1" xfId="1" applyNumberFormat="1" applyFont="1" applyFill="1" applyBorder="1" applyAlignment="1">
      <alignment vertical="center"/>
    </xf>
    <xf numFmtId="0" fontId="7" fillId="0" borderId="0" xfId="0" applyFont="1"/>
    <xf numFmtId="0" fontId="8" fillId="0" borderId="2" xfId="0" applyFont="1" applyFill="1" applyBorder="1" applyAlignment="1">
      <alignment vertical="center"/>
    </xf>
    <xf numFmtId="0" fontId="1" fillId="0" borderId="1" xfId="0" applyFont="1" applyBorder="1"/>
    <xf numFmtId="49" fontId="3" fillId="0" borderId="1" xfId="1" applyNumberFormat="1" applyFont="1" applyFill="1" applyBorder="1"/>
    <xf numFmtId="0" fontId="1" fillId="0" borderId="1" xfId="0" applyFont="1" applyFill="1" applyBorder="1"/>
    <xf numFmtId="49" fontId="1" fillId="0" borderId="1" xfId="1" applyNumberFormat="1" applyFont="1" applyBorder="1"/>
    <xf numFmtId="0" fontId="12" fillId="0" borderId="0" xfId="0" applyFont="1" applyFill="1"/>
    <xf numFmtId="0" fontId="3" fillId="0" borderId="1" xfId="0" applyFont="1" applyFill="1" applyBorder="1"/>
    <xf numFmtId="0" fontId="3" fillId="0" borderId="0" xfId="0" applyFont="1" applyFill="1"/>
    <xf numFmtId="0" fontId="12" fillId="0" borderId="1" xfId="0" applyFont="1" applyFill="1" applyBorder="1"/>
    <xf numFmtId="0" fontId="1" fillId="0" borderId="0" xfId="0" applyFont="1"/>
    <xf numFmtId="0" fontId="10" fillId="0" borderId="0" xfId="0" applyFont="1"/>
    <xf numFmtId="0" fontId="1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1" fillId="0" borderId="0" xfId="0" applyFont="1"/>
    <xf numFmtId="16" fontId="4" fillId="0" borderId="0" xfId="0" applyNumberFormat="1" applyFont="1"/>
    <xf numFmtId="0" fontId="13" fillId="0" borderId="0" xfId="0" applyFont="1"/>
    <xf numFmtId="0" fontId="12" fillId="3" borderId="1" xfId="0" applyFont="1" applyFill="1" applyBorder="1"/>
    <xf numFmtId="0" fontId="3" fillId="3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Y/TONG%20HO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TAU"/>
      <sheetName val="LIST TAU (2)"/>
      <sheetName val="Sheet1"/>
    </sheetNames>
    <sheetDataSet>
      <sheetData sheetId="0"/>
      <sheetData sheetId="1">
        <row r="41">
          <cell r="B41" t="str">
            <v>CAXU6764329</v>
          </cell>
        </row>
        <row r="42">
          <cell r="B42" t="str">
            <v>GMDU2410049</v>
          </cell>
        </row>
        <row r="43">
          <cell r="B43" t="str">
            <v>GMDU2413650</v>
          </cell>
        </row>
        <row r="44">
          <cell r="B44" t="str">
            <v>GMDU2418440</v>
          </cell>
        </row>
        <row r="45">
          <cell r="B45" t="str">
            <v>GMTU7031184</v>
          </cell>
        </row>
        <row r="46">
          <cell r="B46" t="str">
            <v>GMTU9009889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topLeftCell="A34" workbookViewId="0">
      <selection activeCell="N6" sqref="N6"/>
    </sheetView>
  </sheetViews>
  <sheetFormatPr defaultRowHeight="15" x14ac:dyDescent="0.2"/>
  <cols>
    <col min="1" max="1" width="6.140625" style="1" customWidth="1"/>
    <col min="2" max="2" width="14.5703125" style="1" customWidth="1"/>
    <col min="3" max="3" width="15.85546875" style="1" customWidth="1"/>
    <col min="4" max="4" width="17.85546875" style="20" customWidth="1"/>
    <col min="5" max="5" width="15.28515625" style="8" customWidth="1"/>
    <col min="6" max="6" width="7.140625" style="1" customWidth="1"/>
    <col min="7" max="7" width="7.42578125" style="1" customWidth="1"/>
    <col min="8" max="8" width="17" style="1" customWidth="1"/>
    <col min="9" max="9" width="15" style="1" customWidth="1"/>
    <col min="10" max="10" width="17.5703125" style="1" customWidth="1"/>
    <col min="11" max="11" width="17.140625" style="1" customWidth="1"/>
    <col min="12" max="12" width="14" style="1" customWidth="1"/>
    <col min="13" max="16384" width="9.140625" style="1"/>
  </cols>
  <sheetData>
    <row r="1" spans="1:13" ht="22.5" customHeight="1" x14ac:dyDescent="0.25">
      <c r="B1" s="3" t="s">
        <v>9</v>
      </c>
    </row>
    <row r="2" spans="1:13" ht="20.25" x14ac:dyDescent="0.3">
      <c r="B2" s="2" t="s">
        <v>20</v>
      </c>
      <c r="C2" s="2"/>
      <c r="E2" s="2"/>
      <c r="F2" s="2"/>
      <c r="G2" s="2" t="s">
        <v>21</v>
      </c>
      <c r="H2" s="26"/>
    </row>
    <row r="3" spans="1:13" ht="18" x14ac:dyDescent="0.25">
      <c r="B3" s="4" t="s">
        <v>10</v>
      </c>
      <c r="D3" s="21"/>
    </row>
    <row r="4" spans="1:13" ht="18" x14ac:dyDescent="0.25">
      <c r="B4" s="4" t="s">
        <v>11</v>
      </c>
      <c r="D4" s="21"/>
    </row>
    <row r="5" spans="1:13" ht="18" x14ac:dyDescent="0.25">
      <c r="B5" s="4"/>
    </row>
    <row r="6" spans="1:13" ht="29.25" customHeight="1" x14ac:dyDescent="0.2">
      <c r="A6" s="5" t="s">
        <v>0</v>
      </c>
      <c r="B6" s="5" t="s">
        <v>33</v>
      </c>
      <c r="C6" s="5" t="s">
        <v>1</v>
      </c>
      <c r="D6" s="22" t="s">
        <v>14</v>
      </c>
      <c r="E6" s="9" t="s">
        <v>2</v>
      </c>
      <c r="F6" s="5" t="s">
        <v>3</v>
      </c>
      <c r="G6" s="5" t="s">
        <v>4</v>
      </c>
      <c r="H6" s="5" t="s">
        <v>5</v>
      </c>
      <c r="I6" s="5" t="s">
        <v>6</v>
      </c>
      <c r="J6" s="5" t="s">
        <v>7</v>
      </c>
      <c r="K6" s="5" t="s">
        <v>8</v>
      </c>
      <c r="L6" s="29" t="s">
        <v>34</v>
      </c>
    </row>
    <row r="7" spans="1:13" s="18" customFormat="1" x14ac:dyDescent="0.2">
      <c r="A7" s="17">
        <v>1</v>
      </c>
      <c r="B7" s="14"/>
      <c r="C7" s="12"/>
      <c r="D7" s="27"/>
      <c r="E7" s="13"/>
      <c r="F7" s="6"/>
      <c r="G7" s="6"/>
      <c r="H7" s="17"/>
      <c r="I7" s="17"/>
      <c r="J7" s="17"/>
      <c r="K7" s="19"/>
      <c r="L7" s="11"/>
      <c r="M7" s="16"/>
    </row>
    <row r="8" spans="1:13" s="18" customFormat="1" x14ac:dyDescent="0.2">
      <c r="A8" s="17">
        <v>2</v>
      </c>
      <c r="B8" s="14"/>
      <c r="C8" s="12"/>
      <c r="D8" s="14"/>
      <c r="E8" s="13"/>
      <c r="F8" s="6"/>
      <c r="G8" s="6"/>
      <c r="H8" s="17"/>
      <c r="I8" s="17"/>
      <c r="J8" s="17"/>
      <c r="K8" s="19"/>
      <c r="L8" s="11"/>
      <c r="M8" s="16"/>
    </row>
    <row r="9" spans="1:13" s="18" customFormat="1" x14ac:dyDescent="0.2">
      <c r="A9" s="17">
        <v>3</v>
      </c>
      <c r="B9" s="14"/>
      <c r="C9" s="12"/>
      <c r="D9" s="14"/>
      <c r="E9" s="13"/>
      <c r="F9" s="6"/>
      <c r="G9" s="6"/>
      <c r="H9" s="17"/>
      <c r="I9" s="17"/>
      <c r="J9" s="17"/>
      <c r="K9" s="19"/>
      <c r="L9" s="11"/>
      <c r="M9" s="16"/>
    </row>
    <row r="10" spans="1:13" s="18" customFormat="1" x14ac:dyDescent="0.2">
      <c r="A10" s="17">
        <v>4</v>
      </c>
      <c r="B10" s="14"/>
      <c r="C10" s="12"/>
      <c r="D10" s="14"/>
      <c r="E10" s="13"/>
      <c r="F10" s="6"/>
      <c r="G10" s="6"/>
      <c r="H10" s="17"/>
      <c r="I10" s="17"/>
      <c r="J10" s="17"/>
      <c r="K10" s="19"/>
      <c r="L10" s="11"/>
      <c r="M10" s="16"/>
    </row>
    <row r="11" spans="1:13" s="18" customFormat="1" x14ac:dyDescent="0.2">
      <c r="A11" s="17">
        <v>5</v>
      </c>
      <c r="B11" s="14"/>
      <c r="C11" s="12"/>
      <c r="D11" s="14"/>
      <c r="E11" s="13"/>
      <c r="F11" s="6"/>
      <c r="G11" s="6"/>
      <c r="H11" s="17"/>
      <c r="I11" s="17"/>
      <c r="J11" s="17"/>
      <c r="K11" s="19"/>
      <c r="L11" s="11"/>
      <c r="M11" s="16"/>
    </row>
    <row r="12" spans="1:13" s="18" customFormat="1" x14ac:dyDescent="0.2">
      <c r="A12" s="17">
        <v>6</v>
      </c>
      <c r="B12" s="14"/>
      <c r="C12" s="12"/>
      <c r="D12" s="14"/>
      <c r="E12" s="13"/>
      <c r="F12" s="6"/>
      <c r="G12" s="6"/>
      <c r="H12" s="17"/>
      <c r="I12" s="17"/>
      <c r="J12" s="17"/>
      <c r="K12" s="19"/>
      <c r="L12" s="11"/>
      <c r="M12" s="16"/>
    </row>
    <row r="13" spans="1:13" s="18" customFormat="1" x14ac:dyDescent="0.2">
      <c r="A13" s="17">
        <v>7</v>
      </c>
      <c r="B13" s="14"/>
      <c r="C13" s="12"/>
      <c r="D13" s="14"/>
      <c r="E13" s="13"/>
      <c r="F13" s="6"/>
      <c r="G13" s="6"/>
      <c r="H13" s="17"/>
      <c r="I13" s="17"/>
      <c r="J13" s="17"/>
      <c r="K13" s="19"/>
      <c r="L13" s="11"/>
      <c r="M13" s="16"/>
    </row>
    <row r="14" spans="1:13" s="18" customFormat="1" x14ac:dyDescent="0.2">
      <c r="A14" s="17">
        <v>8</v>
      </c>
      <c r="B14" s="14"/>
      <c r="C14" s="12"/>
      <c r="D14" s="14"/>
      <c r="E14" s="13"/>
      <c r="F14" s="6"/>
      <c r="G14" s="6"/>
      <c r="H14" s="17"/>
      <c r="I14" s="17"/>
      <c r="J14" s="17"/>
      <c r="K14" s="19"/>
      <c r="L14" s="11"/>
      <c r="M14" s="16"/>
    </row>
    <row r="15" spans="1:13" s="18" customFormat="1" x14ac:dyDescent="0.2">
      <c r="A15" s="17">
        <v>9</v>
      </c>
      <c r="B15" s="14"/>
      <c r="C15" s="12"/>
      <c r="D15" s="14"/>
      <c r="E15" s="13"/>
      <c r="F15" s="6"/>
      <c r="G15" s="6"/>
      <c r="H15" s="17"/>
      <c r="I15" s="17"/>
      <c r="J15" s="17"/>
      <c r="K15" s="19"/>
      <c r="L15" s="11"/>
      <c r="M15" s="16"/>
    </row>
    <row r="16" spans="1:13" s="18" customFormat="1" x14ac:dyDescent="0.2">
      <c r="A16" s="17">
        <v>10</v>
      </c>
      <c r="B16" s="14"/>
      <c r="C16" s="12"/>
      <c r="D16" s="14"/>
      <c r="E16" s="13"/>
      <c r="F16" s="6"/>
      <c r="G16" s="6"/>
      <c r="H16" s="17"/>
      <c r="I16" s="17"/>
      <c r="J16" s="17"/>
      <c r="K16" s="19"/>
      <c r="L16" s="11"/>
      <c r="M16" s="16"/>
    </row>
    <row r="17" spans="1:13" s="18" customFormat="1" x14ac:dyDescent="0.2">
      <c r="A17" s="17">
        <v>11</v>
      </c>
      <c r="B17" s="14"/>
      <c r="C17" s="12"/>
      <c r="D17" s="14"/>
      <c r="E17" s="13"/>
      <c r="F17" s="6"/>
      <c r="G17" s="6"/>
      <c r="H17" s="17"/>
      <c r="I17" s="17"/>
      <c r="J17" s="17"/>
      <c r="K17" s="19"/>
      <c r="L17" s="11"/>
      <c r="M17" s="16"/>
    </row>
    <row r="18" spans="1:13" s="18" customFormat="1" x14ac:dyDescent="0.2">
      <c r="A18" s="17">
        <v>12</v>
      </c>
      <c r="B18" s="14"/>
      <c r="C18" s="12"/>
      <c r="D18" s="14"/>
      <c r="E18" s="13"/>
      <c r="F18" s="6"/>
      <c r="G18" s="6"/>
      <c r="H18" s="17"/>
      <c r="I18" s="17"/>
      <c r="J18" s="17"/>
      <c r="K18" s="19"/>
      <c r="L18" s="11"/>
      <c r="M18" s="16"/>
    </row>
    <row r="19" spans="1:13" s="18" customFormat="1" x14ac:dyDescent="0.2">
      <c r="A19" s="17">
        <v>13</v>
      </c>
      <c r="B19" s="14"/>
      <c r="C19" s="12"/>
      <c r="D19" s="14"/>
      <c r="E19" s="13"/>
      <c r="F19" s="6"/>
      <c r="G19" s="6"/>
      <c r="H19" s="17"/>
      <c r="I19" s="17"/>
      <c r="J19" s="17"/>
      <c r="K19" s="19"/>
      <c r="L19" s="11"/>
      <c r="M19" s="16"/>
    </row>
    <row r="20" spans="1:13" s="18" customFormat="1" x14ac:dyDescent="0.2">
      <c r="A20" s="17">
        <v>14</v>
      </c>
      <c r="B20" s="14"/>
      <c r="C20" s="12"/>
      <c r="D20" s="14"/>
      <c r="E20" s="13"/>
      <c r="F20" s="6"/>
      <c r="G20" s="6"/>
      <c r="H20" s="17"/>
      <c r="I20" s="17"/>
      <c r="J20" s="17"/>
      <c r="K20" s="19"/>
      <c r="L20" s="11"/>
      <c r="M20" s="16"/>
    </row>
    <row r="21" spans="1:13" s="18" customFormat="1" x14ac:dyDescent="0.2">
      <c r="A21" s="17">
        <v>15</v>
      </c>
      <c r="B21" s="14"/>
      <c r="C21" s="12"/>
      <c r="D21" s="14"/>
      <c r="E21" s="13"/>
      <c r="F21" s="6"/>
      <c r="G21" s="6"/>
      <c r="H21" s="17"/>
      <c r="I21" s="17"/>
      <c r="J21" s="17"/>
      <c r="K21" s="19"/>
      <c r="L21" s="11"/>
      <c r="M21" s="16"/>
    </row>
    <row r="22" spans="1:13" s="18" customFormat="1" x14ac:dyDescent="0.2">
      <c r="A22" s="17">
        <v>16</v>
      </c>
      <c r="B22" s="14"/>
      <c r="C22" s="12"/>
      <c r="D22" s="14"/>
      <c r="E22" s="13"/>
      <c r="F22" s="6"/>
      <c r="G22" s="17"/>
      <c r="H22" s="17"/>
      <c r="I22" s="17"/>
      <c r="J22" s="17"/>
      <c r="K22" s="19"/>
      <c r="L22" s="11"/>
      <c r="M22" s="16"/>
    </row>
    <row r="23" spans="1:13" s="18" customFormat="1" x14ac:dyDescent="0.2">
      <c r="A23" s="17">
        <v>17</v>
      </c>
      <c r="B23" s="14"/>
      <c r="C23" s="12"/>
      <c r="D23" s="14"/>
      <c r="E23" s="13"/>
      <c r="F23" s="6"/>
      <c r="G23" s="17"/>
      <c r="H23" s="17"/>
      <c r="I23" s="17"/>
      <c r="J23" s="17"/>
      <c r="K23" s="19"/>
      <c r="L23" s="11"/>
      <c r="M23" s="16"/>
    </row>
    <row r="24" spans="1:13" s="18" customFormat="1" x14ac:dyDescent="0.2">
      <c r="A24" s="17">
        <v>18</v>
      </c>
      <c r="B24" s="14"/>
      <c r="C24" s="12"/>
      <c r="D24" s="14"/>
      <c r="E24" s="13"/>
      <c r="F24" s="6"/>
      <c r="G24" s="6"/>
      <c r="H24" s="17"/>
      <c r="I24" s="17"/>
      <c r="J24" s="17"/>
      <c r="K24" s="19"/>
      <c r="L24" s="11"/>
      <c r="M24" s="16"/>
    </row>
    <row r="25" spans="1:13" s="18" customFormat="1" x14ac:dyDescent="0.2">
      <c r="A25" s="17">
        <v>19</v>
      </c>
      <c r="B25" s="14"/>
      <c r="C25" s="12"/>
      <c r="D25" s="14"/>
      <c r="E25" s="13"/>
      <c r="F25" s="6"/>
      <c r="G25" s="6"/>
      <c r="H25" s="17"/>
      <c r="I25" s="17"/>
      <c r="J25" s="17"/>
      <c r="K25" s="19"/>
      <c r="L25" s="11"/>
      <c r="M25" s="16"/>
    </row>
    <row r="26" spans="1:13" s="18" customFormat="1" x14ac:dyDescent="0.2">
      <c r="A26" s="17">
        <v>20</v>
      </c>
      <c r="B26" s="14"/>
      <c r="C26" s="12"/>
      <c r="D26" s="14"/>
      <c r="E26" s="13"/>
      <c r="F26" s="6"/>
      <c r="G26" s="6"/>
      <c r="H26" s="17"/>
      <c r="I26" s="17"/>
      <c r="J26" s="17"/>
      <c r="K26" s="19"/>
      <c r="L26" s="11"/>
      <c r="M26" s="16"/>
    </row>
    <row r="27" spans="1:13" s="18" customFormat="1" x14ac:dyDescent="0.2">
      <c r="A27" s="17">
        <v>21</v>
      </c>
      <c r="B27" s="14"/>
      <c r="C27" s="12"/>
      <c r="D27" s="14"/>
      <c r="E27" s="13"/>
      <c r="F27" s="6"/>
      <c r="G27" s="6"/>
      <c r="H27" s="17"/>
      <c r="I27" s="17"/>
      <c r="J27" s="17"/>
      <c r="K27" s="19"/>
      <c r="L27" s="11"/>
      <c r="M27" s="16"/>
    </row>
    <row r="28" spans="1:13" s="18" customFormat="1" x14ac:dyDescent="0.2">
      <c r="A28" s="17">
        <v>22</v>
      </c>
      <c r="B28" s="14"/>
      <c r="C28" s="12"/>
      <c r="D28" s="14"/>
      <c r="E28" s="13"/>
      <c r="F28" s="6"/>
      <c r="G28" s="6"/>
      <c r="H28" s="17"/>
      <c r="I28" s="17"/>
      <c r="J28" s="17"/>
      <c r="K28" s="19"/>
      <c r="L28" s="11"/>
      <c r="M28" s="16"/>
    </row>
    <row r="29" spans="1:13" s="18" customFormat="1" x14ac:dyDescent="0.2">
      <c r="A29" s="17">
        <v>23</v>
      </c>
      <c r="B29" s="14"/>
      <c r="C29" s="12"/>
      <c r="D29" s="14"/>
      <c r="E29" s="13"/>
      <c r="F29" s="6"/>
      <c r="G29" s="6"/>
      <c r="H29" s="17"/>
      <c r="I29" s="17"/>
      <c r="J29" s="17"/>
      <c r="K29" s="19"/>
      <c r="L29" s="11"/>
      <c r="M29" s="16"/>
    </row>
    <row r="30" spans="1:13" s="18" customFormat="1" x14ac:dyDescent="0.2">
      <c r="A30" s="17">
        <v>24</v>
      </c>
      <c r="B30" s="14"/>
      <c r="C30" s="12"/>
      <c r="D30" s="14"/>
      <c r="E30" s="13"/>
      <c r="F30" s="6"/>
      <c r="G30" s="6"/>
      <c r="H30" s="17"/>
      <c r="I30" s="17"/>
      <c r="J30" s="17"/>
      <c r="K30" s="19"/>
      <c r="L30" s="11"/>
      <c r="M30" s="16"/>
    </row>
    <row r="31" spans="1:13" s="18" customFormat="1" x14ac:dyDescent="0.2">
      <c r="A31" s="17">
        <v>25</v>
      </c>
      <c r="B31" s="14"/>
      <c r="C31" s="12"/>
      <c r="D31" s="14"/>
      <c r="E31" s="13"/>
      <c r="F31" s="6"/>
      <c r="G31" s="6"/>
      <c r="H31" s="17"/>
      <c r="I31" s="17"/>
      <c r="J31" s="17"/>
      <c r="K31" s="19"/>
      <c r="L31" s="11"/>
      <c r="M31" s="16"/>
    </row>
    <row r="32" spans="1:13" s="18" customFormat="1" x14ac:dyDescent="0.2">
      <c r="A32" s="17">
        <v>26</v>
      </c>
      <c r="B32" s="14"/>
      <c r="C32" s="12"/>
      <c r="D32" s="14"/>
      <c r="E32" s="13"/>
      <c r="F32" s="6"/>
      <c r="G32" s="6"/>
      <c r="H32" s="17"/>
      <c r="I32" s="17"/>
      <c r="J32" s="17"/>
      <c r="K32" s="19"/>
      <c r="L32" s="11"/>
      <c r="M32" s="16"/>
    </row>
    <row r="33" spans="1:13" s="18" customFormat="1" x14ac:dyDescent="0.2">
      <c r="A33" s="17">
        <v>27</v>
      </c>
      <c r="B33" s="14"/>
      <c r="C33" s="12"/>
      <c r="D33" s="14"/>
      <c r="E33" s="13"/>
      <c r="F33" s="6"/>
      <c r="G33" s="6"/>
      <c r="H33" s="17"/>
      <c r="I33" s="17"/>
      <c r="J33" s="17"/>
      <c r="K33" s="19"/>
      <c r="L33" s="11"/>
      <c r="M33" s="16"/>
    </row>
    <row r="34" spans="1:13" s="18" customFormat="1" x14ac:dyDescent="0.2">
      <c r="A34" s="17">
        <v>28</v>
      </c>
      <c r="B34" s="14"/>
      <c r="C34" s="12"/>
      <c r="D34" s="14"/>
      <c r="E34" s="13"/>
      <c r="F34" s="6"/>
      <c r="G34" s="6"/>
      <c r="H34" s="17"/>
      <c r="I34" s="17"/>
      <c r="J34" s="17"/>
      <c r="K34" s="19"/>
      <c r="L34" s="11"/>
      <c r="M34" s="16"/>
    </row>
    <row r="35" spans="1:13" s="18" customFormat="1" x14ac:dyDescent="0.2">
      <c r="A35" s="17">
        <v>29</v>
      </c>
      <c r="B35" s="14"/>
      <c r="C35" s="12"/>
      <c r="D35" s="14"/>
      <c r="E35" s="13"/>
      <c r="F35" s="6"/>
      <c r="G35" s="6"/>
      <c r="H35" s="17"/>
      <c r="I35" s="17"/>
      <c r="J35" s="17"/>
      <c r="K35" s="19"/>
      <c r="L35" s="11"/>
      <c r="M35" s="16"/>
    </row>
    <row r="36" spans="1:13" s="18" customFormat="1" x14ac:dyDescent="0.2">
      <c r="A36" s="17">
        <v>30</v>
      </c>
      <c r="B36" s="14"/>
      <c r="C36" s="12"/>
      <c r="D36" s="14"/>
      <c r="E36" s="13"/>
      <c r="F36" s="6"/>
      <c r="G36" s="6"/>
      <c r="H36" s="17"/>
      <c r="I36" s="17"/>
      <c r="J36" s="17"/>
      <c r="K36" s="19"/>
      <c r="L36" s="11"/>
      <c r="M36" s="16"/>
    </row>
    <row r="37" spans="1:13" s="18" customFormat="1" x14ac:dyDescent="0.2">
      <c r="A37" s="17">
        <v>31</v>
      </c>
      <c r="B37" s="14"/>
      <c r="C37" s="12"/>
      <c r="D37" s="14"/>
      <c r="E37" s="13"/>
      <c r="F37" s="6"/>
      <c r="G37" s="6"/>
      <c r="H37" s="17"/>
      <c r="I37" s="28"/>
      <c r="J37" s="17"/>
      <c r="K37" s="19"/>
      <c r="L37" s="11"/>
      <c r="M37" s="16"/>
    </row>
    <row r="38" spans="1:13" s="18" customFormat="1" x14ac:dyDescent="0.2">
      <c r="A38" s="17">
        <v>32</v>
      </c>
      <c r="B38" s="14"/>
      <c r="C38" s="12"/>
      <c r="D38" s="14"/>
      <c r="E38" s="13"/>
      <c r="F38" s="6"/>
      <c r="G38" s="6"/>
      <c r="H38" s="17"/>
      <c r="I38" s="17"/>
      <c r="J38" s="17"/>
      <c r="K38" s="19"/>
      <c r="L38" s="11"/>
      <c r="M38" s="16"/>
    </row>
    <row r="39" spans="1:13" s="18" customFormat="1" x14ac:dyDescent="0.2">
      <c r="A39" s="17">
        <v>33</v>
      </c>
      <c r="B39" s="14"/>
      <c r="C39" s="12"/>
      <c r="D39" s="14"/>
      <c r="E39" s="13"/>
      <c r="F39" s="6"/>
      <c r="G39" s="6"/>
      <c r="H39" s="17"/>
      <c r="I39" s="17"/>
      <c r="J39" s="17"/>
      <c r="K39" s="19"/>
      <c r="L39" s="11"/>
      <c r="M39" s="16"/>
    </row>
    <row r="40" spans="1:13" s="18" customFormat="1" x14ac:dyDescent="0.2">
      <c r="A40" s="17">
        <v>34</v>
      </c>
      <c r="B40" s="14"/>
      <c r="C40" s="12"/>
      <c r="D40" s="14"/>
      <c r="E40" s="13"/>
      <c r="F40" s="6"/>
      <c r="G40" s="6"/>
      <c r="H40" s="17"/>
      <c r="I40" s="17"/>
      <c r="J40" s="17"/>
      <c r="K40" s="19"/>
      <c r="L40" s="11"/>
      <c r="M40" s="16"/>
    </row>
    <row r="41" spans="1:13" s="18" customFormat="1" x14ac:dyDescent="0.2">
      <c r="A41" s="17">
        <v>35</v>
      </c>
      <c r="B41" s="14"/>
      <c r="C41" s="12"/>
      <c r="D41" s="14"/>
      <c r="E41" s="13"/>
      <c r="F41" s="6"/>
      <c r="G41" s="6"/>
      <c r="H41" s="17"/>
      <c r="I41" s="17"/>
      <c r="J41" s="17"/>
      <c r="K41" s="19"/>
      <c r="L41" s="11"/>
      <c r="M41" s="16"/>
    </row>
    <row r="42" spans="1:13" s="18" customFormat="1" x14ac:dyDescent="0.2">
      <c r="A42" s="17">
        <v>36</v>
      </c>
      <c r="B42" s="14"/>
      <c r="C42" s="12"/>
      <c r="D42" s="14"/>
      <c r="E42" s="13"/>
      <c r="F42" s="6"/>
      <c r="G42" s="6"/>
      <c r="H42" s="17"/>
      <c r="I42" s="17"/>
      <c r="J42" s="17"/>
      <c r="K42" s="19"/>
      <c r="L42" s="11"/>
      <c r="M42" s="16"/>
    </row>
    <row r="43" spans="1:13" s="18" customFormat="1" x14ac:dyDescent="0.2">
      <c r="A43" s="17">
        <v>37</v>
      </c>
      <c r="B43" s="14"/>
      <c r="C43" s="12"/>
      <c r="D43" s="14"/>
      <c r="E43" s="13"/>
      <c r="F43" s="6"/>
      <c r="G43" s="6"/>
      <c r="H43" s="17"/>
      <c r="I43" s="17"/>
      <c r="J43" s="17"/>
      <c r="K43" s="19"/>
      <c r="L43" s="11"/>
      <c r="M43" s="16"/>
    </row>
    <row r="44" spans="1:13" s="18" customFormat="1" x14ac:dyDescent="0.2">
      <c r="A44" s="17">
        <v>38</v>
      </c>
      <c r="B44" s="14"/>
      <c r="C44" s="12"/>
      <c r="D44" s="14"/>
      <c r="E44" s="13"/>
      <c r="F44" s="6"/>
      <c r="G44" s="6"/>
      <c r="H44" s="17"/>
      <c r="I44" s="17"/>
      <c r="J44" s="17"/>
      <c r="K44" s="19"/>
      <c r="L44" s="11"/>
      <c r="M44" s="16"/>
    </row>
  </sheetData>
  <autoFilter ref="A6:K44"/>
  <phoneticPr fontId="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D14" sqref="D14"/>
    </sheetView>
  </sheetViews>
  <sheetFormatPr defaultRowHeight="15" x14ac:dyDescent="0.2"/>
  <cols>
    <col min="1" max="1" width="6.140625" style="1" customWidth="1"/>
    <col min="2" max="2" width="12.42578125" style="1" customWidth="1"/>
    <col min="3" max="3" width="17.140625" style="1" customWidth="1"/>
    <col min="4" max="4" width="17.85546875" style="1" customWidth="1"/>
    <col min="5" max="5" width="14" style="8" customWidth="1"/>
    <col min="6" max="6" width="7.140625" style="1" customWidth="1"/>
    <col min="7" max="7" width="7.42578125" style="1" customWidth="1"/>
    <col min="8" max="8" width="13.7109375" style="1" customWidth="1"/>
    <col min="9" max="9" width="15" style="1" customWidth="1"/>
    <col min="10" max="10" width="9.42578125" style="1" customWidth="1"/>
    <col min="11" max="11" width="12.42578125" style="1" customWidth="1"/>
    <col min="12" max="12" width="14" style="1" customWidth="1"/>
    <col min="13" max="16384" width="9.140625" style="1"/>
  </cols>
  <sheetData>
    <row r="1" spans="1:12" ht="27" customHeight="1" x14ac:dyDescent="0.3">
      <c r="B1" s="25" t="s">
        <v>9</v>
      </c>
    </row>
    <row r="2" spans="1:12" ht="20.25" x14ac:dyDescent="0.3">
      <c r="B2" s="2" t="s">
        <v>20</v>
      </c>
      <c r="C2" s="2">
        <f>HP!C2</f>
        <v>0</v>
      </c>
      <c r="D2" s="20"/>
      <c r="E2" s="2"/>
      <c r="F2" s="2"/>
      <c r="G2" s="2" t="s">
        <v>21</v>
      </c>
      <c r="H2" s="26">
        <f>HP!H2</f>
        <v>0</v>
      </c>
    </row>
    <row r="3" spans="1:12" ht="18" x14ac:dyDescent="0.25">
      <c r="B3" s="4" t="s">
        <v>10</v>
      </c>
      <c r="D3" s="10" t="s">
        <v>12</v>
      </c>
    </row>
    <row r="4" spans="1:12" ht="18" x14ac:dyDescent="0.25">
      <c r="B4" s="4" t="s">
        <v>11</v>
      </c>
      <c r="D4" s="10" t="s">
        <v>16</v>
      </c>
    </row>
    <row r="5" spans="1:12" ht="18" x14ac:dyDescent="0.25">
      <c r="B5" s="4"/>
    </row>
    <row r="6" spans="1:12" ht="29.25" customHeight="1" x14ac:dyDescent="0.2">
      <c r="A6" s="5" t="s">
        <v>0</v>
      </c>
      <c r="B6" s="5"/>
      <c r="C6" s="5" t="s">
        <v>1</v>
      </c>
      <c r="D6" s="5" t="s">
        <v>14</v>
      </c>
      <c r="E6" s="9" t="s">
        <v>2</v>
      </c>
      <c r="F6" s="5" t="s">
        <v>3</v>
      </c>
      <c r="G6" s="5" t="s">
        <v>4</v>
      </c>
      <c r="H6" s="5" t="s">
        <v>5</v>
      </c>
      <c r="I6" s="5" t="s">
        <v>6</v>
      </c>
      <c r="J6" s="5" t="s">
        <v>7</v>
      </c>
      <c r="K6" s="5" t="s">
        <v>8</v>
      </c>
    </row>
    <row r="7" spans="1:12" x14ac:dyDescent="0.2">
      <c r="A7" s="6">
        <v>1</v>
      </c>
      <c r="B7" s="14" t="s">
        <v>19</v>
      </c>
      <c r="C7" s="12" t="s">
        <v>25</v>
      </c>
      <c r="D7" s="23" t="s">
        <v>27</v>
      </c>
      <c r="E7" s="15"/>
      <c r="F7" s="6">
        <v>1</v>
      </c>
      <c r="G7" s="6"/>
      <c r="H7" s="6" t="s">
        <v>24</v>
      </c>
      <c r="I7" s="6" t="s">
        <v>15</v>
      </c>
      <c r="J7" s="6">
        <v>18</v>
      </c>
      <c r="K7" s="11"/>
      <c r="L7" s="11" t="str">
        <f>VLOOKUP(D7,'[1]LIST TAU (2)'!$B$41:$B$46,1,0)</f>
        <v>GMDU2413650</v>
      </c>
    </row>
    <row r="8" spans="1:12" x14ac:dyDescent="0.2">
      <c r="A8" s="6">
        <v>2</v>
      </c>
      <c r="B8" s="6"/>
      <c r="C8" s="12" t="s">
        <v>25</v>
      </c>
      <c r="D8" s="23" t="s">
        <v>28</v>
      </c>
      <c r="E8" s="15"/>
      <c r="F8" s="6">
        <v>1</v>
      </c>
      <c r="G8" s="6"/>
      <c r="H8" s="6" t="s">
        <v>24</v>
      </c>
      <c r="I8" s="6" t="s">
        <v>15</v>
      </c>
      <c r="J8" s="6">
        <v>18</v>
      </c>
      <c r="K8" s="11"/>
      <c r="L8" s="11" t="str">
        <f>VLOOKUP(D8,'[1]LIST TAU (2)'!$B$41:$B$46,1,0)</f>
        <v>GMDU2410049</v>
      </c>
    </row>
    <row r="9" spans="1:12" x14ac:dyDescent="0.2">
      <c r="A9" s="6">
        <v>3</v>
      </c>
      <c r="B9" s="6"/>
      <c r="C9" s="12" t="s">
        <v>25</v>
      </c>
      <c r="D9" s="23" t="s">
        <v>29</v>
      </c>
      <c r="E9" s="15"/>
      <c r="F9" s="6">
        <v>1</v>
      </c>
      <c r="G9" s="6"/>
      <c r="H9" s="6" t="s">
        <v>24</v>
      </c>
      <c r="I9" s="6" t="s">
        <v>15</v>
      </c>
      <c r="J9" s="6">
        <v>18</v>
      </c>
      <c r="K9" s="11"/>
      <c r="L9" s="11" t="str">
        <f>VLOOKUP(D9,'[1]LIST TAU (2)'!$B$41:$B$46,1,0)</f>
        <v>CAXU6764329</v>
      </c>
    </row>
    <row r="10" spans="1:12" x14ac:dyDescent="0.2">
      <c r="A10" s="6">
        <v>4</v>
      </c>
      <c r="B10" s="6"/>
      <c r="C10" s="12" t="s">
        <v>25</v>
      </c>
      <c r="D10" s="23" t="s">
        <v>30</v>
      </c>
      <c r="E10" s="15"/>
      <c r="F10" s="6">
        <v>1</v>
      </c>
      <c r="G10" s="6"/>
      <c r="H10" s="6" t="s">
        <v>24</v>
      </c>
      <c r="I10" s="6" t="s">
        <v>15</v>
      </c>
      <c r="J10" s="6">
        <v>18</v>
      </c>
      <c r="K10" s="11"/>
      <c r="L10" s="11" t="str">
        <f>VLOOKUP(D10,'[1]LIST TAU (2)'!$B$41:$B$46,1,0)</f>
        <v>GMDU2418440</v>
      </c>
    </row>
    <row r="11" spans="1:12" x14ac:dyDescent="0.2">
      <c r="A11" s="6">
        <v>5</v>
      </c>
      <c r="B11" s="6" t="s">
        <v>18</v>
      </c>
      <c r="C11" s="12" t="s">
        <v>25</v>
      </c>
      <c r="D11" s="23" t="s">
        <v>31</v>
      </c>
      <c r="E11" s="15">
        <v>209865</v>
      </c>
      <c r="F11" s="6"/>
      <c r="G11" s="6">
        <v>1</v>
      </c>
      <c r="H11" s="6" t="s">
        <v>17</v>
      </c>
      <c r="I11" s="6" t="s">
        <v>15</v>
      </c>
      <c r="J11" s="6">
        <v>24</v>
      </c>
      <c r="K11" s="11"/>
      <c r="L11" s="11" t="str">
        <f>VLOOKUP(D11,'[1]LIST TAU (2)'!$B$41:$B$46,1,0)</f>
        <v>GMTU9009889</v>
      </c>
    </row>
    <row r="12" spans="1:12" x14ac:dyDescent="0.2">
      <c r="A12" s="6">
        <v>6</v>
      </c>
      <c r="B12" s="6" t="s">
        <v>22</v>
      </c>
      <c r="C12" s="12" t="s">
        <v>26</v>
      </c>
      <c r="D12" s="23" t="s">
        <v>32</v>
      </c>
      <c r="E12" s="15"/>
      <c r="F12" s="6"/>
      <c r="G12" s="6">
        <v>1</v>
      </c>
      <c r="H12" s="6" t="s">
        <v>23</v>
      </c>
      <c r="I12" s="6" t="s">
        <v>15</v>
      </c>
      <c r="J12" s="6">
        <v>22</v>
      </c>
      <c r="K12" s="11"/>
      <c r="L12" s="11" t="str">
        <f>VLOOKUP(D12,'[1]LIST TAU (2)'!$B$41:$B$46,1,0)</f>
        <v>GMTU7031184</v>
      </c>
    </row>
    <row r="13" spans="1:12" x14ac:dyDescent="0.2">
      <c r="A13" s="6"/>
      <c r="B13" s="6"/>
      <c r="C13" s="6"/>
      <c r="D13" s="24"/>
      <c r="E13" s="13"/>
      <c r="F13" s="7">
        <f>SUM(F7:F12)</f>
        <v>4</v>
      </c>
      <c r="G13" s="7">
        <f>SUM(G7:G12)</f>
        <v>2</v>
      </c>
      <c r="H13" s="7">
        <f>G13*2+F13</f>
        <v>8</v>
      </c>
      <c r="I13" s="7" t="s">
        <v>13</v>
      </c>
      <c r="J13" s="6">
        <f>SUM(J7:J12)</f>
        <v>118</v>
      </c>
      <c r="K13" s="6"/>
      <c r="L13" s="11"/>
    </row>
  </sheetData>
  <autoFilter ref="A6:K6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HP</vt:lpstr>
      <vt:lpstr>DN</vt:lpstr>
    </vt:vector>
  </TitlesOfParts>
  <Company>GMD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glc4</dc:creator>
  <cp:lastModifiedBy>hung</cp:lastModifiedBy>
  <cp:lastPrinted>2013-06-25T06:47:04Z</cp:lastPrinted>
  <dcterms:created xsi:type="dcterms:W3CDTF">2013-05-23T03:21:23Z</dcterms:created>
  <dcterms:modified xsi:type="dcterms:W3CDTF">2015-06-04T16:13:49Z</dcterms:modified>
</cp:coreProperties>
</file>